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PORT" sheetId="1" r:id="rId5"/>
    <sheet state="visible" name="BUG TRACKING LIST" sheetId="2" r:id="rId6"/>
  </sheets>
  <definedNames/>
  <calcPr/>
</workbook>
</file>

<file path=xl/sharedStrings.xml><?xml version="1.0" encoding="utf-8"?>
<sst xmlns="http://schemas.openxmlformats.org/spreadsheetml/2006/main" count="194" uniqueCount="113">
  <si>
    <t>TEST REPORT MANUAL</t>
  </si>
  <si>
    <t>Tên dự án</t>
  </si>
  <si>
    <t xml:space="preserve">XÂY DỰNG HỆ THỐNG WEBSITE QUẢN LÝ NHÂN SỰ </t>
  </si>
  <si>
    <t>STT</t>
  </si>
  <si>
    <t>Module code</t>
  </si>
  <si>
    <t>Sub module</t>
  </si>
  <si>
    <t>Chỉ số từng Sub module</t>
  </si>
  <si>
    <t>Vòng 1</t>
  </si>
  <si>
    <t>Vòng 2</t>
  </si>
  <si>
    <t>Number of  test cases</t>
  </si>
  <si>
    <t>Hoàn thành</t>
  </si>
  <si>
    <t>Lỗi</t>
  </si>
  <si>
    <t>Chưa hoàn thành</t>
  </si>
  <si>
    <t>Ngày kiểm tra</t>
  </si>
  <si>
    <t>Đăng nhập</t>
  </si>
  <si>
    <t>Quên mật khẩu</t>
  </si>
  <si>
    <t>OTP</t>
  </si>
  <si>
    <t>Đặt lại mật khẩu</t>
  </si>
  <si>
    <t>Tổng quan</t>
  </si>
  <si>
    <t>Thẻ thống kê</t>
  </si>
  <si>
    <t>Biểu đồ</t>
  </si>
  <si>
    <t>Quản lý thông tin nhân viên</t>
  </si>
  <si>
    <t>Xem thông tin nhân viên</t>
  </si>
  <si>
    <t>Thêm nhân viên</t>
  </si>
  <si>
    <t>Chỉnh sửa thông tin nhân viên</t>
  </si>
  <si>
    <t>Xóa nhân viên</t>
  </si>
  <si>
    <t>Quản lý hợp đồng lao động</t>
  </si>
  <si>
    <t>Xem hợp đồng lao động</t>
  </si>
  <si>
    <t>Thêm hợp đồng lao động</t>
  </si>
  <si>
    <t>Chỉnh sửa hợp đồng lao động</t>
  </si>
  <si>
    <t>Xóa hợp đồng lao động</t>
  </si>
  <si>
    <t>Quản lý lịch làm việc</t>
  </si>
  <si>
    <t>Điều hướng</t>
  </si>
  <si>
    <t xml:space="preserve">Xem lịch </t>
  </si>
  <si>
    <t>Tạo lịch làm việc</t>
  </si>
  <si>
    <t>Chỉnh sửa lịch làm việc</t>
  </si>
  <si>
    <t>Gửi thông báo lịch làm việc</t>
  </si>
  <si>
    <t>Xóa lịch làm</t>
  </si>
  <si>
    <t>Tìm kiếm</t>
  </si>
  <si>
    <t>Bộ lọc</t>
  </si>
  <si>
    <t>Quản lý yêu cầu</t>
  </si>
  <si>
    <t>Lọc trạng thái/ yêu cầu/ kết hợp</t>
  </si>
  <si>
    <t>Xem chi tiết</t>
  </si>
  <si>
    <t>Hiển thị bộ lọc trạng thái</t>
  </si>
  <si>
    <t>Duyệt yêu cầu</t>
  </si>
  <si>
    <t>Từ chối yêu cầu</t>
  </si>
  <si>
    <t>Xử lý yêu cầu</t>
  </si>
  <si>
    <t xml:space="preserve">Tìm kiếm </t>
  </si>
  <si>
    <t>Quản lý lương</t>
  </si>
  <si>
    <t>Xem danh sách</t>
  </si>
  <si>
    <t>Lọc</t>
  </si>
  <si>
    <t>Tính lương</t>
  </si>
  <si>
    <t>Validation</t>
  </si>
  <si>
    <t>Duyệt</t>
  </si>
  <si>
    <t>Từ chối</t>
  </si>
  <si>
    <t>Chỉnh sửa</t>
  </si>
  <si>
    <t xml:space="preserve">Lưu </t>
  </si>
  <si>
    <t>Xóa</t>
  </si>
  <si>
    <t>Xuất</t>
  </si>
  <si>
    <t>Chi tiết lương</t>
  </si>
  <si>
    <t>Báo cáo</t>
  </si>
  <si>
    <t>Tạo báo cáo</t>
  </si>
  <si>
    <t>Xuất báo cáo</t>
  </si>
  <si>
    <t>Sub total</t>
  </si>
  <si>
    <t xml:space="preserve">Kiểm tra vùng 
phủ sóng </t>
  </si>
  <si>
    <t>TEST REPORT MANUAL GUI</t>
  </si>
  <si>
    <t>Kết quả</t>
  </si>
  <si>
    <t xml:space="preserve">TEST REPORT AUTO </t>
  </si>
  <si>
    <t>Test case pass</t>
  </si>
  <si>
    <t>Test case fail</t>
  </si>
  <si>
    <t>BUG TRACKING LIST</t>
  </si>
  <si>
    <t>Bug ID</t>
  </si>
  <si>
    <t>TC ID</t>
  </si>
  <si>
    <t>Module</t>
  </si>
  <si>
    <t>Mô tả Bug</t>
  </si>
  <si>
    <t>Kết quả mong đợi</t>
  </si>
  <si>
    <t>Kết quả thực tế</t>
  </si>
  <si>
    <t>Re-test</t>
  </si>
  <si>
    <t>Cách fix</t>
  </si>
  <si>
    <t>Người kiểm tra</t>
  </si>
  <si>
    <t>BUG-01</t>
  </si>
  <si>
    <t>TC-EMP-04</t>
  </si>
  <si>
    <t>Thông báo lỗi sau khi nhập nhân viên &lt; 18 tuổi 
hoặc lớn hơn hiện tại.</t>
  </si>
  <si>
    <t>Hiển thị thông báo lỗi màu đỏ:
 " Ngày sinh không hợp lệ."</t>
  </si>
  <si>
    <t>- Hiển thị thông báo lỗi màu đỏ:
 " Ngày sinh không hợp lệ"</t>
  </si>
  <si>
    <t>Pass</t>
  </si>
  <si>
    <t>Chuẩn hóa nội dung message theo đúng format (thêm dấu “.” ở cuối)
Kiểm tra lại file validate / resource message (frontend hoặc backend)</t>
  </si>
  <si>
    <t>Phạm Thị Cẩm Tiên</t>
  </si>
  <si>
    <t>BUG-02</t>
  </si>
  <si>
    <t>TC-EMP-16</t>
  </si>
  <si>
    <t>Thông báo sau khi xóa nhân viên hợp lệ</t>
  </si>
  <si>
    <t>-Hiển thị thông báo: "Đã xoá nhân viên thành công"</t>
  </si>
  <si>
    <t>Hiển thị thông báo: "Đã xoá nhân viên thành công."</t>
  </si>
  <si>
    <t>BUG-03</t>
  </si>
  <si>
    <t>TC-LC-01</t>
  </si>
  <si>
    <t>Tìm kiếm tên nhân viên không dấu</t>
  </si>
  <si>
    <t>Hệ thống tìm được và hiển thị đúng các nhân viên có tên tương ứng (bao gồm cả có dấu và không dấu).</t>
  </si>
  <si>
    <t>Hệ thống không tìm thấy được nhân viên</t>
  </si>
  <si>
    <t>Chuẩn hóa cả dữ liệu và từ khóa về không dấu trước khi so sánh (remove accent).</t>
  </si>
  <si>
    <t>Lê Thị Hoài Thương</t>
  </si>
  <si>
    <t>BUG-04</t>
  </si>
  <si>
    <t>TC-LC-03</t>
  </si>
  <si>
    <t>Kiểm tra danh sách hợp đồng mặc định sắp xếp theo mã hợp đồng giảm dần</t>
  </si>
  <si>
    <t>Hợp đồng hiển thị theo thứ tự mã hợp đồng giảm dần</t>
  </si>
  <si>
    <t>Hợp đồng hiển thị theo thứ tự mã hợp đồng tăng dần</t>
  </si>
  <si>
    <t>Tách phần số phía sau mã và ép về kiểu số nguyên trước khi sắp xếp để đảm bảo đúng thứ tự giảm dần.</t>
  </si>
  <si>
    <t>BUG-05</t>
  </si>
  <si>
    <t>TC-SCH-10</t>
  </si>
  <si>
    <t>Khi người dùng để trống trường “Ngày” trong form tạo lịch làm việc, hệ thống không hiển thị đúng thông báo lỗi theo yêu cầu.</t>
  </si>
  <si>
    <t>Hiển thị lỗi dưới field ngày: “Ngày làm không được để trống. Vui lòng nhập lại.”</t>
  </si>
  <si>
    <t>- Không gọi API
- Hệ thống chặn submit
- Không hiển thị message tiếng Việt theo yêu cầu
- Thay vào đó hiển thị message mặc định của trình duyệt: “Please fill out this field.” (tiếng Anh, không đúng đặc tả hệ thống)</t>
  </si>
  <si>
    <t>- Nguyên nhân: Field “Ngày” đang dùng validate mặc định của trình duyệt/framework nên hiển thị message mặc định “Please fill out this field.” thay vì message theo yêu cầu.
- Cách fix: 
+ Cấu hình lại validate phía frontend:
+ Set message cho rule required của field “Ngày”
+ Override message mặc định của trình duyệt bằng message custom.
+ (Tùy chọn) Tắt validate mặc định (novalidate) và xử lý bằng JS/framework.
- Kết quả sau fix: Hiển thị đúng: “Ngày làm không được để trống. Vui lòng nhập lại.”</t>
  </si>
  <si>
    <t>Nguyễn Thị Thu Trang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</si>
</sst>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b/>
      <sz val="13.0"/>
      <color theme="1"/>
      <name val="Times New Roman"/>
    </font>
    <font/>
    <font>
      <sz val="13.0"/>
      <color theme="1"/>
      <name val="Times New Roman"/>
    </font>
    <font>
      <sz val="13.0"/>
      <color rgb="FF00000A"/>
      <name val="Times New Roman"/>
    </font>
    <font>
      <b/>
      <sz val="20.0"/>
      <color theme="1"/>
      <name val="Times New Roman"/>
    </font>
    <font>
      <b/>
      <sz val="13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3D85C6"/>
        <bgColor rgb="FF3D85C6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Alignment="1" applyFont="1">
      <alignment shrinkToFit="0" vertical="center" wrapText="1"/>
    </xf>
    <xf borderId="3" fillId="3" fontId="1" numFmtId="0" xfId="0" applyAlignment="1" applyBorder="1" applyFill="1" applyFont="1">
      <alignment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0" fillId="4" fontId="3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3" fillId="3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6" fillId="4" fontId="3" numFmtId="164" xfId="0" applyAlignment="1" applyBorder="1" applyFont="1" applyNumberFormat="1">
      <alignment horizontal="center" shrinkToFit="0" vertical="center" wrapText="1"/>
    </xf>
    <xf borderId="8" fillId="0" fontId="2" numFmtId="0" xfId="0" applyBorder="1" applyFont="1"/>
    <xf borderId="1" fillId="5" fontId="1" numFmtId="0" xfId="0" applyAlignment="1" applyBorder="1" applyFill="1" applyFont="1">
      <alignment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shrinkToFit="0" vertical="center" wrapText="1"/>
    </xf>
    <xf borderId="3" fillId="6" fontId="1" numFmtId="0" xfId="0" applyAlignment="1" applyBorder="1" applyFill="1" applyFont="1">
      <alignment horizontal="center" shrinkToFit="0" vertical="center" wrapText="1"/>
    </xf>
    <xf borderId="6" fillId="6" fontId="1" numFmtId="0" xfId="0" applyAlignment="1" applyBorder="1" applyFont="1">
      <alignment horizontal="center" shrinkToFit="0" vertical="center" wrapText="1"/>
    </xf>
    <xf borderId="3" fillId="0" fontId="1" numFmtId="9" xfId="0" applyAlignment="1" applyBorder="1" applyFont="1" applyNumberForma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3" fillId="4" fontId="3" numFmtId="164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6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3" fillId="7" fontId="6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30.5"/>
    <col customWidth="1" min="4" max="4" width="18.5"/>
    <col customWidth="1" min="5" max="5" width="19.5"/>
    <col customWidth="1" min="6" max="6" width="17.88"/>
    <col customWidth="1" min="7" max="7" width="25.88"/>
    <col customWidth="1" min="8" max="8" width="20.38"/>
    <col customWidth="1" min="11" max="11" width="21.25"/>
    <col customWidth="1" min="12" max="12" width="17.75"/>
    <col customWidth="1" min="13" max="13" width="24.13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</v>
      </c>
      <c r="B2" s="5" t="s">
        <v>2</v>
      </c>
      <c r="C2" s="2"/>
      <c r="D2" s="2"/>
      <c r="E2" s="6"/>
      <c r="F2" s="3"/>
      <c r="G2" s="3"/>
      <c r="H2" s="7"/>
      <c r="I2" s="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8"/>
      <c r="B3" s="3"/>
      <c r="C3" s="7"/>
      <c r="D3" s="7"/>
      <c r="E3" s="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8"/>
      <c r="B4" s="7"/>
      <c r="C4" s="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9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0" t="s">
        <v>3</v>
      </c>
      <c r="B6" s="10" t="s">
        <v>4</v>
      </c>
      <c r="C6" s="10" t="s">
        <v>5</v>
      </c>
      <c r="D6" s="10" t="s">
        <v>6</v>
      </c>
      <c r="E6" s="11" t="s">
        <v>7</v>
      </c>
      <c r="F6" s="2"/>
      <c r="G6" s="2"/>
      <c r="H6" s="6"/>
      <c r="I6" s="11" t="s">
        <v>8</v>
      </c>
      <c r="J6" s="2"/>
      <c r="K6" s="2"/>
      <c r="L6" s="6"/>
      <c r="M6" s="10" t="s">
        <v>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2"/>
      <c r="B7" s="12"/>
      <c r="C7" s="12"/>
      <c r="D7" s="12"/>
      <c r="E7" s="13" t="s">
        <v>10</v>
      </c>
      <c r="F7" s="13" t="s">
        <v>11</v>
      </c>
      <c r="G7" s="13" t="s">
        <v>12</v>
      </c>
      <c r="H7" s="13" t="s">
        <v>13</v>
      </c>
      <c r="I7" s="13" t="s">
        <v>10</v>
      </c>
      <c r="J7" s="13" t="s">
        <v>11</v>
      </c>
      <c r="K7" s="13" t="s">
        <v>12</v>
      </c>
      <c r="L7" s="13" t="s">
        <v>13</v>
      </c>
      <c r="M7" s="1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4">
        <v>1.0</v>
      </c>
      <c r="B8" s="15" t="s">
        <v>14</v>
      </c>
      <c r="C8" s="16" t="s">
        <v>15</v>
      </c>
      <c r="D8" s="17">
        <v>3.0</v>
      </c>
      <c r="E8" s="15">
        <v>15.0</v>
      </c>
      <c r="F8" s="18">
        <v>0.0</v>
      </c>
      <c r="G8" s="18">
        <v>0.0</v>
      </c>
      <c r="H8" s="19">
        <v>46114.0</v>
      </c>
      <c r="I8" s="18">
        <v>15.0</v>
      </c>
      <c r="J8" s="18">
        <v>0.0</v>
      </c>
      <c r="K8" s="18">
        <v>0.0</v>
      </c>
      <c r="L8" s="19">
        <v>46116.0</v>
      </c>
      <c r="M8" s="18">
        <v>15.0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20"/>
      <c r="B9" s="20"/>
      <c r="C9" s="16" t="s">
        <v>14</v>
      </c>
      <c r="D9" s="17">
        <v>5.0</v>
      </c>
      <c r="E9" s="20"/>
      <c r="F9" s="20"/>
      <c r="G9" s="20"/>
      <c r="H9" s="20"/>
      <c r="I9" s="20"/>
      <c r="J9" s="20"/>
      <c r="K9" s="20"/>
      <c r="L9" s="20"/>
      <c r="M9" s="20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0"/>
      <c r="B10" s="20"/>
      <c r="C10" s="16" t="s">
        <v>16</v>
      </c>
      <c r="D10" s="17">
        <v>3.0</v>
      </c>
      <c r="E10" s="20"/>
      <c r="F10" s="20"/>
      <c r="G10" s="20"/>
      <c r="H10" s="20"/>
      <c r="I10" s="20"/>
      <c r="J10" s="20"/>
      <c r="K10" s="20"/>
      <c r="L10" s="20"/>
      <c r="M10" s="20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2"/>
      <c r="B11" s="12"/>
      <c r="C11" s="16" t="s">
        <v>17</v>
      </c>
      <c r="D11" s="17">
        <v>4.0</v>
      </c>
      <c r="E11" s="12"/>
      <c r="F11" s="12"/>
      <c r="G11" s="12"/>
      <c r="H11" s="12"/>
      <c r="I11" s="12"/>
      <c r="J11" s="12"/>
      <c r="K11" s="12"/>
      <c r="L11" s="12"/>
      <c r="M11" s="1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14">
        <v>2.0</v>
      </c>
      <c r="B13" s="22" t="s">
        <v>18</v>
      </c>
      <c r="C13" s="16" t="s">
        <v>19</v>
      </c>
      <c r="D13" s="17">
        <v>5.0</v>
      </c>
      <c r="E13" s="15">
        <v>10.0</v>
      </c>
      <c r="F13" s="18">
        <v>0.0</v>
      </c>
      <c r="G13" s="18">
        <v>0.0</v>
      </c>
      <c r="H13" s="19">
        <v>46115.0</v>
      </c>
      <c r="I13" s="18">
        <v>10.0</v>
      </c>
      <c r="J13" s="18">
        <v>0.0</v>
      </c>
      <c r="K13" s="18">
        <v>0.0</v>
      </c>
      <c r="L13" s="19">
        <v>46118.0</v>
      </c>
      <c r="M13" s="18">
        <v>10.0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2"/>
      <c r="B14" s="12"/>
      <c r="C14" s="16" t="s">
        <v>20</v>
      </c>
      <c r="D14" s="17">
        <v>5.0</v>
      </c>
      <c r="E14" s="12"/>
      <c r="F14" s="12"/>
      <c r="G14" s="12"/>
      <c r="H14" s="12"/>
      <c r="I14" s="12"/>
      <c r="J14" s="12"/>
      <c r="K14" s="12"/>
      <c r="L14" s="12"/>
      <c r="M14" s="1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2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4">
        <v>3.0</v>
      </c>
      <c r="B16" s="15" t="s">
        <v>21</v>
      </c>
      <c r="C16" s="16" t="s">
        <v>22</v>
      </c>
      <c r="D16" s="17">
        <v>2.0</v>
      </c>
      <c r="E16" s="15">
        <v>15.0</v>
      </c>
      <c r="F16" s="18">
        <v>2.0</v>
      </c>
      <c r="G16" s="18">
        <v>0.0</v>
      </c>
      <c r="H16" s="19">
        <v>46114.0</v>
      </c>
      <c r="I16" s="18">
        <v>17.0</v>
      </c>
      <c r="J16" s="18">
        <v>0.0</v>
      </c>
      <c r="K16" s="18">
        <v>0.0</v>
      </c>
      <c r="L16" s="19">
        <v>46117.0</v>
      </c>
      <c r="M16" s="18">
        <v>17.0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20"/>
      <c r="B17" s="20"/>
      <c r="C17" s="16" t="s">
        <v>23</v>
      </c>
      <c r="D17" s="17">
        <v>6.0</v>
      </c>
      <c r="E17" s="20"/>
      <c r="F17" s="20"/>
      <c r="G17" s="20"/>
      <c r="H17" s="20"/>
      <c r="I17" s="20"/>
      <c r="J17" s="20"/>
      <c r="K17" s="20"/>
      <c r="L17" s="20"/>
      <c r="M17" s="2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20"/>
      <c r="B18" s="20"/>
      <c r="C18" s="16" t="s">
        <v>24</v>
      </c>
      <c r="D18" s="17">
        <v>7.0</v>
      </c>
      <c r="E18" s="20"/>
      <c r="F18" s="20"/>
      <c r="G18" s="20"/>
      <c r="H18" s="20"/>
      <c r="I18" s="20"/>
      <c r="J18" s="20"/>
      <c r="K18" s="20"/>
      <c r="L18" s="20"/>
      <c r="M18" s="20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2"/>
      <c r="B19" s="12"/>
      <c r="C19" s="16" t="s">
        <v>25</v>
      </c>
      <c r="D19" s="17">
        <v>2.0</v>
      </c>
      <c r="E19" s="12"/>
      <c r="F19" s="12"/>
      <c r="G19" s="12"/>
      <c r="H19" s="12"/>
      <c r="I19" s="12"/>
      <c r="J19" s="12"/>
      <c r="K19" s="12"/>
      <c r="L19" s="12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4">
        <v>4.0</v>
      </c>
      <c r="B21" s="22" t="s">
        <v>26</v>
      </c>
      <c r="C21" s="16" t="s">
        <v>27</v>
      </c>
      <c r="D21" s="17">
        <v>3.0</v>
      </c>
      <c r="E21" s="15">
        <v>15.0</v>
      </c>
      <c r="F21" s="18">
        <v>2.0</v>
      </c>
      <c r="G21" s="18">
        <v>0.0</v>
      </c>
      <c r="H21" s="19">
        <v>46122.0</v>
      </c>
      <c r="I21" s="18">
        <v>17.0</v>
      </c>
      <c r="J21" s="18">
        <v>0.0</v>
      </c>
      <c r="K21" s="18">
        <v>0.0</v>
      </c>
      <c r="L21" s="19">
        <v>46128.0</v>
      </c>
      <c r="M21" s="18">
        <v>17.0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20"/>
      <c r="B22" s="20"/>
      <c r="C22" s="16" t="s">
        <v>28</v>
      </c>
      <c r="D22" s="17">
        <v>4.0</v>
      </c>
      <c r="E22" s="20"/>
      <c r="F22" s="20"/>
      <c r="G22" s="20"/>
      <c r="H22" s="20"/>
      <c r="I22" s="20"/>
      <c r="J22" s="20"/>
      <c r="K22" s="20"/>
      <c r="L22" s="20"/>
      <c r="M22" s="20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20"/>
      <c r="B23" s="20"/>
      <c r="C23" s="16" t="s">
        <v>29</v>
      </c>
      <c r="D23" s="17">
        <v>8.0</v>
      </c>
      <c r="E23" s="20"/>
      <c r="F23" s="20"/>
      <c r="G23" s="20"/>
      <c r="H23" s="20"/>
      <c r="I23" s="20"/>
      <c r="J23" s="20"/>
      <c r="K23" s="20"/>
      <c r="L23" s="20"/>
      <c r="M23" s="20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12"/>
      <c r="B24" s="12"/>
      <c r="C24" s="16" t="s">
        <v>30</v>
      </c>
      <c r="D24" s="17">
        <v>2.0</v>
      </c>
      <c r="E24" s="12"/>
      <c r="F24" s="12"/>
      <c r="G24" s="12"/>
      <c r="H24" s="12"/>
      <c r="I24" s="12"/>
      <c r="J24" s="12"/>
      <c r="K24" s="12"/>
      <c r="L24" s="12"/>
      <c r="M24" s="1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2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14">
        <v>5.0</v>
      </c>
      <c r="B26" s="22" t="s">
        <v>31</v>
      </c>
      <c r="C26" s="16" t="s">
        <v>32</v>
      </c>
      <c r="D26" s="17">
        <v>4.0</v>
      </c>
      <c r="E26" s="15">
        <v>31.0</v>
      </c>
      <c r="F26" s="18">
        <v>1.0</v>
      </c>
      <c r="G26" s="18">
        <v>0.0</v>
      </c>
      <c r="H26" s="19">
        <v>46124.0</v>
      </c>
      <c r="I26" s="18">
        <v>32.0</v>
      </c>
      <c r="J26" s="18">
        <v>0.0</v>
      </c>
      <c r="K26" s="18">
        <v>0.0</v>
      </c>
      <c r="L26" s="19">
        <v>46129.0</v>
      </c>
      <c r="M26" s="18">
        <v>32.0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20"/>
      <c r="B27" s="20"/>
      <c r="C27" s="16" t="s">
        <v>33</v>
      </c>
      <c r="D27" s="17">
        <v>2.0</v>
      </c>
      <c r="E27" s="20"/>
      <c r="F27" s="20"/>
      <c r="G27" s="20"/>
      <c r="H27" s="20"/>
      <c r="I27" s="20"/>
      <c r="J27" s="20"/>
      <c r="K27" s="20"/>
      <c r="L27" s="20"/>
      <c r="M27" s="20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20"/>
      <c r="B28" s="20"/>
      <c r="C28" s="16" t="s">
        <v>34</v>
      </c>
      <c r="D28" s="17">
        <v>8.0</v>
      </c>
      <c r="E28" s="20"/>
      <c r="F28" s="20"/>
      <c r="G28" s="20"/>
      <c r="H28" s="20"/>
      <c r="I28" s="20"/>
      <c r="J28" s="20"/>
      <c r="K28" s="20"/>
      <c r="L28" s="20"/>
      <c r="M28" s="2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20"/>
      <c r="B29" s="20"/>
      <c r="C29" s="16" t="s">
        <v>35</v>
      </c>
      <c r="D29" s="17">
        <v>5.0</v>
      </c>
      <c r="E29" s="20"/>
      <c r="F29" s="20"/>
      <c r="G29" s="20"/>
      <c r="H29" s="20"/>
      <c r="I29" s="20"/>
      <c r="J29" s="20"/>
      <c r="K29" s="20"/>
      <c r="L29" s="20"/>
      <c r="M29" s="20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20"/>
      <c r="B30" s="20"/>
      <c r="C30" s="16" t="s">
        <v>36</v>
      </c>
      <c r="D30" s="17">
        <v>8.0</v>
      </c>
      <c r="E30" s="20"/>
      <c r="F30" s="20"/>
      <c r="G30" s="20"/>
      <c r="H30" s="20"/>
      <c r="I30" s="20"/>
      <c r="J30" s="20"/>
      <c r="K30" s="20"/>
      <c r="L30" s="20"/>
      <c r="M30" s="2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20"/>
      <c r="B31" s="20"/>
      <c r="C31" s="16" t="s">
        <v>37</v>
      </c>
      <c r="D31" s="17">
        <v>3.0</v>
      </c>
      <c r="E31" s="20"/>
      <c r="F31" s="20"/>
      <c r="G31" s="20"/>
      <c r="H31" s="20"/>
      <c r="I31" s="20"/>
      <c r="J31" s="20"/>
      <c r="K31" s="20"/>
      <c r="L31" s="20"/>
      <c r="M31" s="20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20"/>
      <c r="B32" s="20"/>
      <c r="C32" s="16" t="s">
        <v>38</v>
      </c>
      <c r="D32" s="17">
        <v>1.0</v>
      </c>
      <c r="E32" s="20"/>
      <c r="F32" s="20"/>
      <c r="G32" s="20"/>
      <c r="H32" s="20"/>
      <c r="I32" s="20"/>
      <c r="J32" s="20"/>
      <c r="K32" s="20"/>
      <c r="L32" s="20"/>
      <c r="M32" s="20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2"/>
      <c r="B33" s="12"/>
      <c r="C33" s="16" t="s">
        <v>39</v>
      </c>
      <c r="D33" s="17">
        <v>1.0</v>
      </c>
      <c r="E33" s="12"/>
      <c r="F33" s="12"/>
      <c r="G33" s="12"/>
      <c r="H33" s="12"/>
      <c r="I33" s="12"/>
      <c r="J33" s="12"/>
      <c r="K33" s="12"/>
      <c r="L33" s="12"/>
      <c r="M33" s="1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2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4">
        <v>6.0</v>
      </c>
      <c r="B35" s="22" t="s">
        <v>40</v>
      </c>
      <c r="C35" s="16" t="s">
        <v>41</v>
      </c>
      <c r="D35" s="17">
        <v>8.0</v>
      </c>
      <c r="E35" s="15">
        <v>20.0</v>
      </c>
      <c r="F35" s="18">
        <v>0.0</v>
      </c>
      <c r="G35" s="18">
        <v>0.0</v>
      </c>
      <c r="H35" s="19">
        <v>46126.0</v>
      </c>
      <c r="I35" s="18">
        <v>20.0</v>
      </c>
      <c r="J35" s="18">
        <v>0.0</v>
      </c>
      <c r="K35" s="18">
        <v>0.0</v>
      </c>
      <c r="L35" s="19">
        <v>46129.0</v>
      </c>
      <c r="M35" s="18">
        <v>20.0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20"/>
      <c r="B36" s="20"/>
      <c r="C36" s="16" t="s">
        <v>42</v>
      </c>
      <c r="D36" s="17">
        <v>2.0</v>
      </c>
      <c r="E36" s="20"/>
      <c r="F36" s="20"/>
      <c r="G36" s="20"/>
      <c r="H36" s="20"/>
      <c r="I36" s="20"/>
      <c r="J36" s="20"/>
      <c r="K36" s="20"/>
      <c r="L36" s="20"/>
      <c r="M36" s="20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20"/>
      <c r="B37" s="20"/>
      <c r="C37" s="16" t="s">
        <v>43</v>
      </c>
      <c r="D37" s="17">
        <v>1.0</v>
      </c>
      <c r="E37" s="20"/>
      <c r="F37" s="20"/>
      <c r="G37" s="20"/>
      <c r="H37" s="20"/>
      <c r="I37" s="20"/>
      <c r="J37" s="20"/>
      <c r="K37" s="20"/>
      <c r="L37" s="20"/>
      <c r="M37" s="20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20"/>
      <c r="B38" s="20"/>
      <c r="C38" s="16" t="s">
        <v>44</v>
      </c>
      <c r="D38" s="17">
        <v>1.0</v>
      </c>
      <c r="E38" s="20"/>
      <c r="F38" s="20"/>
      <c r="G38" s="20"/>
      <c r="H38" s="20"/>
      <c r="I38" s="20"/>
      <c r="J38" s="20"/>
      <c r="K38" s="20"/>
      <c r="L38" s="20"/>
      <c r="M38" s="20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20"/>
      <c r="B39" s="20"/>
      <c r="C39" s="16" t="s">
        <v>45</v>
      </c>
      <c r="D39" s="17">
        <v>2.0</v>
      </c>
      <c r="E39" s="20"/>
      <c r="F39" s="20"/>
      <c r="G39" s="20"/>
      <c r="H39" s="20"/>
      <c r="I39" s="20"/>
      <c r="J39" s="20"/>
      <c r="K39" s="20"/>
      <c r="L39" s="20"/>
      <c r="M39" s="20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20"/>
      <c r="B40" s="20"/>
      <c r="C40" s="16" t="s">
        <v>46</v>
      </c>
      <c r="D40" s="17">
        <v>2.0</v>
      </c>
      <c r="E40" s="20"/>
      <c r="F40" s="20"/>
      <c r="G40" s="20"/>
      <c r="H40" s="20"/>
      <c r="I40" s="20"/>
      <c r="J40" s="20"/>
      <c r="K40" s="20"/>
      <c r="L40" s="20"/>
      <c r="M40" s="20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2"/>
      <c r="B41" s="12"/>
      <c r="C41" s="16" t="s">
        <v>47</v>
      </c>
      <c r="D41" s="17">
        <v>4.0</v>
      </c>
      <c r="E41" s="12"/>
      <c r="F41" s="12"/>
      <c r="G41" s="12"/>
      <c r="H41" s="12"/>
      <c r="I41" s="12"/>
      <c r="J41" s="12"/>
      <c r="K41" s="12"/>
      <c r="L41" s="12"/>
      <c r="M41" s="12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2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4">
        <v>7.0</v>
      </c>
      <c r="B43" s="22" t="s">
        <v>48</v>
      </c>
      <c r="C43" s="16" t="s">
        <v>49</v>
      </c>
      <c r="D43" s="17">
        <v>1.0</v>
      </c>
      <c r="E43" s="15">
        <v>18.0</v>
      </c>
      <c r="F43" s="18">
        <v>0.0</v>
      </c>
      <c r="G43" s="18">
        <v>0.0</v>
      </c>
      <c r="H43" s="19">
        <v>46134.0</v>
      </c>
      <c r="I43" s="18">
        <v>18.0</v>
      </c>
      <c r="J43" s="18">
        <v>0.0</v>
      </c>
      <c r="K43" s="18">
        <v>0.0</v>
      </c>
      <c r="L43" s="19">
        <v>45408.0</v>
      </c>
      <c r="M43" s="18">
        <v>18.0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20"/>
      <c r="B44" s="20"/>
      <c r="C44" s="16" t="s">
        <v>38</v>
      </c>
      <c r="D44" s="17">
        <v>2.0</v>
      </c>
      <c r="E44" s="20"/>
      <c r="F44" s="20"/>
      <c r="G44" s="20"/>
      <c r="H44" s="20"/>
      <c r="I44" s="20"/>
      <c r="J44" s="20"/>
      <c r="K44" s="20"/>
      <c r="L44" s="20"/>
      <c r="M44" s="20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20"/>
      <c r="B45" s="20"/>
      <c r="C45" s="16" t="s">
        <v>50</v>
      </c>
      <c r="D45" s="17">
        <v>4.0</v>
      </c>
      <c r="E45" s="20"/>
      <c r="F45" s="20"/>
      <c r="G45" s="20"/>
      <c r="H45" s="20"/>
      <c r="I45" s="20"/>
      <c r="J45" s="20"/>
      <c r="K45" s="20"/>
      <c r="L45" s="20"/>
      <c r="M45" s="20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20"/>
      <c r="B46" s="20"/>
      <c r="C46" s="16" t="s">
        <v>51</v>
      </c>
      <c r="D46" s="17">
        <v>2.0</v>
      </c>
      <c r="E46" s="20"/>
      <c r="F46" s="20"/>
      <c r="G46" s="20"/>
      <c r="H46" s="20"/>
      <c r="I46" s="20"/>
      <c r="J46" s="20"/>
      <c r="K46" s="20"/>
      <c r="L46" s="20"/>
      <c r="M46" s="20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20"/>
      <c r="B47" s="20"/>
      <c r="C47" s="16" t="s">
        <v>52</v>
      </c>
      <c r="D47" s="17">
        <v>2.0</v>
      </c>
      <c r="E47" s="20"/>
      <c r="F47" s="20"/>
      <c r="G47" s="20"/>
      <c r="H47" s="20"/>
      <c r="I47" s="20"/>
      <c r="J47" s="20"/>
      <c r="K47" s="20"/>
      <c r="L47" s="20"/>
      <c r="M47" s="20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20"/>
      <c r="B48" s="20"/>
      <c r="C48" s="16" t="s">
        <v>53</v>
      </c>
      <c r="D48" s="17">
        <v>1.0</v>
      </c>
      <c r="E48" s="20"/>
      <c r="F48" s="20"/>
      <c r="G48" s="20"/>
      <c r="H48" s="20"/>
      <c r="I48" s="20"/>
      <c r="J48" s="20"/>
      <c r="K48" s="20"/>
      <c r="L48" s="20"/>
      <c r="M48" s="20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20"/>
      <c r="B49" s="20"/>
      <c r="C49" s="16" t="s">
        <v>54</v>
      </c>
      <c r="D49" s="17">
        <v>1.0</v>
      </c>
      <c r="E49" s="20"/>
      <c r="F49" s="20"/>
      <c r="G49" s="20"/>
      <c r="H49" s="20"/>
      <c r="I49" s="20"/>
      <c r="J49" s="20"/>
      <c r="K49" s="20"/>
      <c r="L49" s="20"/>
      <c r="M49" s="2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20"/>
      <c r="B50" s="20"/>
      <c r="C50" s="16" t="s">
        <v>55</v>
      </c>
      <c r="D50" s="17">
        <v>1.0</v>
      </c>
      <c r="E50" s="20"/>
      <c r="F50" s="20"/>
      <c r="G50" s="20"/>
      <c r="H50" s="20"/>
      <c r="I50" s="20"/>
      <c r="J50" s="20"/>
      <c r="K50" s="20"/>
      <c r="L50" s="20"/>
      <c r="M50" s="20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20"/>
      <c r="B51" s="20"/>
      <c r="C51" s="16" t="s">
        <v>56</v>
      </c>
      <c r="D51" s="17">
        <v>1.0</v>
      </c>
      <c r="E51" s="20"/>
      <c r="F51" s="20"/>
      <c r="G51" s="20"/>
      <c r="H51" s="20"/>
      <c r="I51" s="20"/>
      <c r="J51" s="20"/>
      <c r="K51" s="20"/>
      <c r="L51" s="20"/>
      <c r="M51" s="20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20"/>
      <c r="B52" s="20"/>
      <c r="C52" s="16" t="s">
        <v>57</v>
      </c>
      <c r="D52" s="17">
        <v>1.0</v>
      </c>
      <c r="E52" s="20"/>
      <c r="F52" s="20"/>
      <c r="G52" s="20"/>
      <c r="H52" s="20"/>
      <c r="I52" s="20"/>
      <c r="J52" s="20"/>
      <c r="K52" s="20"/>
      <c r="L52" s="20"/>
      <c r="M52" s="20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20"/>
      <c r="B53" s="20"/>
      <c r="C53" s="16" t="s">
        <v>58</v>
      </c>
      <c r="D53" s="17">
        <v>1.0</v>
      </c>
      <c r="E53" s="20"/>
      <c r="F53" s="20"/>
      <c r="G53" s="20"/>
      <c r="H53" s="20"/>
      <c r="I53" s="20"/>
      <c r="J53" s="20"/>
      <c r="K53" s="20"/>
      <c r="L53" s="20"/>
      <c r="M53" s="20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12"/>
      <c r="B54" s="12"/>
      <c r="C54" s="16" t="s">
        <v>59</v>
      </c>
      <c r="D54" s="17">
        <v>1.0</v>
      </c>
      <c r="E54" s="12"/>
      <c r="F54" s="12"/>
      <c r="G54" s="12"/>
      <c r="H54" s="12"/>
      <c r="I54" s="12"/>
      <c r="J54" s="12"/>
      <c r="K54" s="12"/>
      <c r="L54" s="12"/>
      <c r="M54" s="12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2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14">
        <v>8.0</v>
      </c>
      <c r="B56" s="22" t="s">
        <v>60</v>
      </c>
      <c r="C56" s="16" t="s">
        <v>61</v>
      </c>
      <c r="D56" s="17">
        <v>12.0</v>
      </c>
      <c r="E56" s="15">
        <v>16.0</v>
      </c>
      <c r="F56" s="18">
        <v>0.0</v>
      </c>
      <c r="G56" s="18">
        <v>0.0</v>
      </c>
      <c r="H56" s="19">
        <v>46136.0</v>
      </c>
      <c r="I56" s="18">
        <v>16.0</v>
      </c>
      <c r="J56" s="18">
        <v>0.0</v>
      </c>
      <c r="K56" s="18">
        <v>0.0</v>
      </c>
      <c r="L56" s="19">
        <v>45409.0</v>
      </c>
      <c r="M56" s="18">
        <v>16.0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12"/>
      <c r="B57" s="12"/>
      <c r="C57" s="16" t="s">
        <v>62</v>
      </c>
      <c r="D57" s="17">
        <v>4.0</v>
      </c>
      <c r="E57" s="12"/>
      <c r="F57" s="12"/>
      <c r="G57" s="12"/>
      <c r="H57" s="12"/>
      <c r="I57" s="12"/>
      <c r="J57" s="12"/>
      <c r="K57" s="12"/>
      <c r="L57" s="12"/>
      <c r="M57" s="12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4"/>
      <c r="B58" s="13" t="s">
        <v>63</v>
      </c>
      <c r="C58" s="23"/>
      <c r="D58" s="13">
        <f t="shared" ref="D58:F58" si="1">SUM(D8:D57)</f>
        <v>145</v>
      </c>
      <c r="E58" s="13">
        <f t="shared" si="1"/>
        <v>140</v>
      </c>
      <c r="F58" s="13">
        <f t="shared" si="1"/>
        <v>5</v>
      </c>
      <c r="G58" s="13">
        <f>SUM(G8:G56)</f>
        <v>0</v>
      </c>
      <c r="H58" s="23"/>
      <c r="I58" s="13">
        <f t="shared" ref="I58:K58" si="2">SUM(I8:I57)</f>
        <v>145</v>
      </c>
      <c r="J58" s="13">
        <f t="shared" si="2"/>
        <v>0</v>
      </c>
      <c r="K58" s="13">
        <f t="shared" si="2"/>
        <v>0</v>
      </c>
      <c r="L58" s="23"/>
      <c r="M58" s="24">
        <f>SUM(M8:M57)</f>
        <v>145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8"/>
      <c r="B60" s="3"/>
      <c r="C60" s="25" t="s">
        <v>64</v>
      </c>
      <c r="D60" s="24" t="s">
        <v>7</v>
      </c>
      <c r="E60" s="24" t="s">
        <v>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8"/>
      <c r="B61" s="3"/>
      <c r="C61" s="12"/>
      <c r="D61" s="26">
        <f>ROUND((E58*100) / (E58+F58+G58),0)%</f>
        <v>0.97</v>
      </c>
      <c r="E61" s="26">
        <f>ROUND((I58*100) / (I58+J58+K58),0)%</f>
        <v>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" t="s">
        <v>65</v>
      </c>
      <c r="B68" s="2"/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4" t="s">
        <v>1</v>
      </c>
      <c r="B69" s="5" t="s">
        <v>2</v>
      </c>
      <c r="C69" s="2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0" t="s">
        <v>3</v>
      </c>
      <c r="B72" s="10" t="s">
        <v>4</v>
      </c>
      <c r="C72" s="10" t="s">
        <v>10</v>
      </c>
      <c r="D72" s="10" t="s">
        <v>11</v>
      </c>
      <c r="E72" s="10" t="s">
        <v>12</v>
      </c>
      <c r="F72" s="10" t="s">
        <v>13</v>
      </c>
      <c r="G72" s="10" t="s">
        <v>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2"/>
      <c r="B73" s="12"/>
      <c r="C73" s="12"/>
      <c r="D73" s="12"/>
      <c r="E73" s="12"/>
      <c r="F73" s="12"/>
      <c r="G73" s="1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27">
        <v>1.0</v>
      </c>
      <c r="B74" s="16" t="s">
        <v>14</v>
      </c>
      <c r="C74" s="17">
        <v>24.0</v>
      </c>
      <c r="D74" s="28">
        <v>0.0</v>
      </c>
      <c r="E74" s="28">
        <v>0.0</v>
      </c>
      <c r="F74" s="29">
        <v>46140.0</v>
      </c>
      <c r="G74" s="28">
        <v>24.0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27">
        <v>2.0</v>
      </c>
      <c r="B75" s="30" t="s">
        <v>18</v>
      </c>
      <c r="C75" s="17">
        <v>13.0</v>
      </c>
      <c r="D75" s="28">
        <v>0.0</v>
      </c>
      <c r="E75" s="28">
        <v>0.0</v>
      </c>
      <c r="F75" s="29">
        <v>46140.0</v>
      </c>
      <c r="G75" s="28">
        <v>13.0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27">
        <v>3.0</v>
      </c>
      <c r="B76" s="16" t="s">
        <v>21</v>
      </c>
      <c r="C76" s="17">
        <v>30.0</v>
      </c>
      <c r="D76" s="28">
        <v>0.0</v>
      </c>
      <c r="E76" s="28">
        <v>0.0</v>
      </c>
      <c r="F76" s="29">
        <v>46140.0</v>
      </c>
      <c r="G76" s="28">
        <v>30.0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27">
        <v>4.0</v>
      </c>
      <c r="B77" s="30" t="s">
        <v>26</v>
      </c>
      <c r="C77" s="17">
        <v>20.0</v>
      </c>
      <c r="D77" s="28">
        <v>0.0</v>
      </c>
      <c r="E77" s="28">
        <v>0.0</v>
      </c>
      <c r="F77" s="29">
        <v>46140.0</v>
      </c>
      <c r="G77" s="28">
        <v>20.0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27">
        <v>5.0</v>
      </c>
      <c r="B78" s="30" t="s">
        <v>31</v>
      </c>
      <c r="C78" s="17">
        <v>30.0</v>
      </c>
      <c r="D78" s="28">
        <v>0.0</v>
      </c>
      <c r="E78" s="28">
        <v>0.0</v>
      </c>
      <c r="F78" s="29">
        <v>46140.0</v>
      </c>
      <c r="G78" s="28">
        <v>30.0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27">
        <v>6.0</v>
      </c>
      <c r="B79" s="30" t="s">
        <v>40</v>
      </c>
      <c r="C79" s="17">
        <v>19.0</v>
      </c>
      <c r="D79" s="28">
        <v>0.0</v>
      </c>
      <c r="E79" s="28">
        <v>0.0</v>
      </c>
      <c r="F79" s="29">
        <v>46140.0</v>
      </c>
      <c r="G79" s="28">
        <v>19.0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27">
        <v>7.0</v>
      </c>
      <c r="B80" s="30" t="s">
        <v>48</v>
      </c>
      <c r="C80" s="17">
        <v>20.0</v>
      </c>
      <c r="D80" s="28">
        <v>0.0</v>
      </c>
      <c r="E80" s="28">
        <v>0.0</v>
      </c>
      <c r="F80" s="29">
        <v>46140.0</v>
      </c>
      <c r="G80" s="28">
        <v>20.0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27">
        <v>8.0</v>
      </c>
      <c r="B81" s="30" t="s">
        <v>60</v>
      </c>
      <c r="C81" s="17">
        <v>11.0</v>
      </c>
      <c r="D81" s="28">
        <v>0.0</v>
      </c>
      <c r="E81" s="28">
        <v>0.0</v>
      </c>
      <c r="F81" s="29">
        <v>46140.0</v>
      </c>
      <c r="G81" s="28">
        <v>11.0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4"/>
      <c r="B82" s="13" t="s">
        <v>63</v>
      </c>
      <c r="C82" s="13">
        <f t="shared" ref="C82:E82" si="3">SUM(C74:C81)</f>
        <v>167</v>
      </c>
      <c r="D82" s="13">
        <f t="shared" si="3"/>
        <v>0</v>
      </c>
      <c r="E82" s="13">
        <f t="shared" si="3"/>
        <v>0</v>
      </c>
      <c r="F82" s="23"/>
      <c r="G82" s="31">
        <f>SUM(G74:G81)</f>
        <v>167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8"/>
      <c r="B84" s="3"/>
      <c r="C84" s="25" t="s">
        <v>64</v>
      </c>
      <c r="D84" s="24" t="s">
        <v>66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8"/>
      <c r="B85" s="3"/>
      <c r="C85" s="12"/>
      <c r="D85" s="26">
        <f>ROUND((C82*100) / (C82+D82),0)%</f>
        <v>1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" t="s">
        <v>67</v>
      </c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4" t="s">
        <v>1</v>
      </c>
      <c r="B92" s="5" t="s">
        <v>2</v>
      </c>
      <c r="C92" s="2"/>
      <c r="D92" s="2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8"/>
      <c r="B93" s="3"/>
      <c r="C93" s="7"/>
      <c r="D93" s="7"/>
      <c r="E93" s="7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8"/>
      <c r="B94" s="3"/>
      <c r="C94" s="7"/>
      <c r="D94" s="7"/>
      <c r="E94" s="7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9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0" t="s">
        <v>3</v>
      </c>
      <c r="B96" s="10" t="s">
        <v>4</v>
      </c>
      <c r="C96" s="10" t="s">
        <v>5</v>
      </c>
      <c r="D96" s="10" t="s">
        <v>6</v>
      </c>
      <c r="E96" s="10" t="s">
        <v>10</v>
      </c>
      <c r="F96" s="10" t="s">
        <v>12</v>
      </c>
      <c r="G96" s="10" t="s">
        <v>68</v>
      </c>
      <c r="H96" s="10" t="s">
        <v>69</v>
      </c>
      <c r="I96" s="10" t="s">
        <v>9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4">
        <v>1.0</v>
      </c>
      <c r="B98" s="15" t="s">
        <v>21</v>
      </c>
      <c r="C98" s="16" t="s">
        <v>22</v>
      </c>
      <c r="D98" s="17">
        <v>2.0</v>
      </c>
      <c r="E98" s="15">
        <v>17.0</v>
      </c>
      <c r="F98" s="18">
        <v>0.0</v>
      </c>
      <c r="G98" s="18">
        <v>17.0</v>
      </c>
      <c r="H98" s="18">
        <v>0.0</v>
      </c>
      <c r="I98" s="18">
        <v>17.0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20"/>
      <c r="B99" s="20"/>
      <c r="C99" s="16" t="s">
        <v>23</v>
      </c>
      <c r="D99" s="17">
        <v>6.0</v>
      </c>
      <c r="E99" s="20"/>
      <c r="F99" s="20"/>
      <c r="G99" s="20"/>
      <c r="H99" s="20"/>
      <c r="I99" s="20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20"/>
      <c r="B100" s="20"/>
      <c r="C100" s="16" t="s">
        <v>24</v>
      </c>
      <c r="D100" s="17">
        <v>7.0</v>
      </c>
      <c r="E100" s="20"/>
      <c r="F100" s="20"/>
      <c r="G100" s="20"/>
      <c r="H100" s="20"/>
      <c r="I100" s="20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2"/>
      <c r="B101" s="12"/>
      <c r="C101" s="16" t="s">
        <v>25</v>
      </c>
      <c r="D101" s="17">
        <v>2.0</v>
      </c>
      <c r="E101" s="12"/>
      <c r="F101" s="12"/>
      <c r="G101" s="12"/>
      <c r="H101" s="12"/>
      <c r="I101" s="1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21"/>
      <c r="B102" s="2"/>
      <c r="C102" s="2"/>
      <c r="D102" s="2"/>
      <c r="E102" s="2"/>
      <c r="F102" s="2"/>
      <c r="G102" s="2"/>
      <c r="H102" s="2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4">
        <v>2.0</v>
      </c>
      <c r="B103" s="22" t="s">
        <v>26</v>
      </c>
      <c r="C103" s="16" t="s">
        <v>27</v>
      </c>
      <c r="D103" s="17">
        <v>3.0</v>
      </c>
      <c r="E103" s="15">
        <v>17.0</v>
      </c>
      <c r="F103" s="18">
        <v>0.0</v>
      </c>
      <c r="G103" s="18">
        <v>17.0</v>
      </c>
      <c r="H103" s="18">
        <v>0.0</v>
      </c>
      <c r="I103" s="18">
        <v>17.0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20"/>
      <c r="B104" s="20"/>
      <c r="C104" s="16" t="s">
        <v>28</v>
      </c>
      <c r="D104" s="17">
        <v>4.0</v>
      </c>
      <c r="E104" s="20"/>
      <c r="F104" s="20"/>
      <c r="G104" s="20"/>
      <c r="H104" s="20"/>
      <c r="I104" s="20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20"/>
      <c r="B105" s="20"/>
      <c r="C105" s="16" t="s">
        <v>29</v>
      </c>
      <c r="D105" s="17">
        <v>8.0</v>
      </c>
      <c r="E105" s="20"/>
      <c r="F105" s="20"/>
      <c r="G105" s="20"/>
      <c r="H105" s="20"/>
      <c r="I105" s="20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12"/>
      <c r="B106" s="12"/>
      <c r="C106" s="16" t="s">
        <v>30</v>
      </c>
      <c r="D106" s="17">
        <v>2.0</v>
      </c>
      <c r="E106" s="12"/>
      <c r="F106" s="12"/>
      <c r="G106" s="12"/>
      <c r="H106" s="12"/>
      <c r="I106" s="1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21"/>
      <c r="B107" s="2"/>
      <c r="C107" s="2"/>
      <c r="D107" s="2"/>
      <c r="E107" s="2"/>
      <c r="F107" s="2"/>
      <c r="G107" s="2"/>
      <c r="H107" s="2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14">
        <v>3.0</v>
      </c>
      <c r="B108" s="22" t="s">
        <v>31</v>
      </c>
      <c r="C108" s="16" t="s">
        <v>32</v>
      </c>
      <c r="D108" s="17">
        <v>4.0</v>
      </c>
      <c r="E108" s="15">
        <v>32.0</v>
      </c>
      <c r="F108" s="18">
        <v>0.0</v>
      </c>
      <c r="G108" s="18">
        <v>32.0</v>
      </c>
      <c r="H108" s="18">
        <v>0.0</v>
      </c>
      <c r="I108" s="18">
        <v>32.0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20"/>
      <c r="B109" s="20"/>
      <c r="C109" s="16" t="s">
        <v>33</v>
      </c>
      <c r="D109" s="17">
        <v>2.0</v>
      </c>
      <c r="E109" s="20"/>
      <c r="F109" s="20"/>
      <c r="G109" s="20"/>
      <c r="H109" s="20"/>
      <c r="I109" s="20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20"/>
      <c r="B110" s="20"/>
      <c r="C110" s="16" t="s">
        <v>34</v>
      </c>
      <c r="D110" s="17">
        <v>8.0</v>
      </c>
      <c r="E110" s="20"/>
      <c r="F110" s="20"/>
      <c r="G110" s="20"/>
      <c r="H110" s="20"/>
      <c r="I110" s="20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20"/>
      <c r="B111" s="20"/>
      <c r="C111" s="16" t="s">
        <v>35</v>
      </c>
      <c r="D111" s="17">
        <v>5.0</v>
      </c>
      <c r="E111" s="20"/>
      <c r="F111" s="20"/>
      <c r="G111" s="20"/>
      <c r="H111" s="20"/>
      <c r="I111" s="20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20"/>
      <c r="B112" s="20"/>
      <c r="C112" s="16" t="s">
        <v>36</v>
      </c>
      <c r="D112" s="17">
        <v>8.0</v>
      </c>
      <c r="E112" s="20"/>
      <c r="F112" s="20"/>
      <c r="G112" s="20"/>
      <c r="H112" s="20"/>
      <c r="I112" s="20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20"/>
      <c r="B113" s="20"/>
      <c r="C113" s="16" t="s">
        <v>37</v>
      </c>
      <c r="D113" s="17">
        <v>3.0</v>
      </c>
      <c r="E113" s="20"/>
      <c r="F113" s="20"/>
      <c r="G113" s="20"/>
      <c r="H113" s="20"/>
      <c r="I113" s="20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20"/>
      <c r="B114" s="20"/>
      <c r="C114" s="16" t="s">
        <v>38</v>
      </c>
      <c r="D114" s="17">
        <v>1.0</v>
      </c>
      <c r="E114" s="20"/>
      <c r="F114" s="20"/>
      <c r="G114" s="20"/>
      <c r="H114" s="20"/>
      <c r="I114" s="20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2"/>
      <c r="B115" s="12"/>
      <c r="C115" s="16" t="s">
        <v>39</v>
      </c>
      <c r="D115" s="17">
        <v>1.0</v>
      </c>
      <c r="E115" s="12"/>
      <c r="F115" s="12"/>
      <c r="G115" s="12"/>
      <c r="H115" s="12"/>
      <c r="I115" s="1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21"/>
      <c r="B116" s="2"/>
      <c r="C116" s="2"/>
      <c r="D116" s="2"/>
      <c r="E116" s="2"/>
      <c r="F116" s="2"/>
      <c r="G116" s="2"/>
      <c r="H116" s="2"/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4">
        <v>4.0</v>
      </c>
      <c r="B117" s="22" t="s">
        <v>48</v>
      </c>
      <c r="C117" s="16" t="s">
        <v>49</v>
      </c>
      <c r="D117" s="17">
        <v>1.0</v>
      </c>
      <c r="E117" s="15">
        <v>18.0</v>
      </c>
      <c r="F117" s="18">
        <v>0.0</v>
      </c>
      <c r="G117" s="18">
        <v>18.0</v>
      </c>
      <c r="H117" s="18">
        <v>0.0</v>
      </c>
      <c r="I117" s="18">
        <v>18.0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20"/>
      <c r="B118" s="20"/>
      <c r="C118" s="16" t="s">
        <v>38</v>
      </c>
      <c r="D118" s="17">
        <v>2.0</v>
      </c>
      <c r="E118" s="20"/>
      <c r="F118" s="20"/>
      <c r="G118" s="20"/>
      <c r="H118" s="20"/>
      <c r="I118" s="20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20"/>
      <c r="B119" s="20"/>
      <c r="C119" s="16" t="s">
        <v>50</v>
      </c>
      <c r="D119" s="17">
        <v>4.0</v>
      </c>
      <c r="E119" s="20"/>
      <c r="F119" s="20"/>
      <c r="G119" s="20"/>
      <c r="H119" s="20"/>
      <c r="I119" s="20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20"/>
      <c r="B120" s="20"/>
      <c r="C120" s="16" t="s">
        <v>51</v>
      </c>
      <c r="D120" s="17">
        <v>2.0</v>
      </c>
      <c r="E120" s="20"/>
      <c r="F120" s="20"/>
      <c r="G120" s="20"/>
      <c r="H120" s="20"/>
      <c r="I120" s="20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20"/>
      <c r="B121" s="20"/>
      <c r="C121" s="16" t="s">
        <v>52</v>
      </c>
      <c r="D121" s="17">
        <v>2.0</v>
      </c>
      <c r="E121" s="20"/>
      <c r="F121" s="20"/>
      <c r="G121" s="20"/>
      <c r="H121" s="20"/>
      <c r="I121" s="20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20"/>
      <c r="B122" s="20"/>
      <c r="C122" s="16" t="s">
        <v>53</v>
      </c>
      <c r="D122" s="17">
        <v>1.0</v>
      </c>
      <c r="E122" s="20"/>
      <c r="F122" s="20"/>
      <c r="G122" s="20"/>
      <c r="H122" s="20"/>
      <c r="I122" s="20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20"/>
      <c r="B123" s="20"/>
      <c r="C123" s="16" t="s">
        <v>54</v>
      </c>
      <c r="D123" s="17">
        <v>1.0</v>
      </c>
      <c r="E123" s="20"/>
      <c r="F123" s="20"/>
      <c r="G123" s="20"/>
      <c r="H123" s="20"/>
      <c r="I123" s="20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20"/>
      <c r="B124" s="20"/>
      <c r="C124" s="16" t="s">
        <v>55</v>
      </c>
      <c r="D124" s="17">
        <v>1.0</v>
      </c>
      <c r="E124" s="20"/>
      <c r="F124" s="20"/>
      <c r="G124" s="20"/>
      <c r="H124" s="20"/>
      <c r="I124" s="20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20"/>
      <c r="B125" s="20"/>
      <c r="C125" s="16" t="s">
        <v>56</v>
      </c>
      <c r="D125" s="17">
        <v>1.0</v>
      </c>
      <c r="E125" s="20"/>
      <c r="F125" s="20"/>
      <c r="G125" s="20"/>
      <c r="H125" s="20"/>
      <c r="I125" s="20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20"/>
      <c r="B126" s="20"/>
      <c r="C126" s="16" t="s">
        <v>57</v>
      </c>
      <c r="D126" s="17">
        <v>1.0</v>
      </c>
      <c r="E126" s="20"/>
      <c r="F126" s="20"/>
      <c r="G126" s="20"/>
      <c r="H126" s="20"/>
      <c r="I126" s="20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20"/>
      <c r="B127" s="20"/>
      <c r="C127" s="16" t="s">
        <v>58</v>
      </c>
      <c r="D127" s="17">
        <v>1.0</v>
      </c>
      <c r="E127" s="20"/>
      <c r="F127" s="20"/>
      <c r="G127" s="20"/>
      <c r="H127" s="20"/>
      <c r="I127" s="20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12"/>
      <c r="B128" s="12"/>
      <c r="C128" s="16" t="s">
        <v>59</v>
      </c>
      <c r="D128" s="17">
        <v>1.0</v>
      </c>
      <c r="E128" s="12"/>
      <c r="F128" s="12"/>
      <c r="G128" s="12"/>
      <c r="H128" s="12"/>
      <c r="I128" s="1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4"/>
      <c r="B129" s="13" t="s">
        <v>63</v>
      </c>
      <c r="C129" s="23"/>
      <c r="D129" s="32">
        <f t="shared" ref="D129:I129" si="4">SUM(D98:D128)</f>
        <v>84</v>
      </c>
      <c r="E129" s="32">
        <f t="shared" si="4"/>
        <v>84</v>
      </c>
      <c r="F129" s="32">
        <f t="shared" si="4"/>
        <v>0</v>
      </c>
      <c r="G129" s="32">
        <f t="shared" si="4"/>
        <v>84</v>
      </c>
      <c r="H129" s="32">
        <f t="shared" si="4"/>
        <v>0</v>
      </c>
      <c r="I129" s="24">
        <f t="shared" si="4"/>
        <v>84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8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8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8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8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8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8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8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8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8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8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8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8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8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8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8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8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8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8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8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8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8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8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8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8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8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8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8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A1028" s="8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A1029" s="8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A1030" s="8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A1031" s="8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A1032" s="8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A1033" s="8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A1034" s="8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A1035" s="8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A1036" s="8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A1037" s="8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A1038" s="8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A1039" s="8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A1040" s="8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A1041" s="8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A1042" s="8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A1043" s="8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A1044" s="8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A1045" s="8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A1046" s="8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A1047" s="8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A1048" s="8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>
      <c r="A1049" s="8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A1050" s="8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>
      <c r="A1051" s="8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>
      <c r="A1052" s="8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>
      <c r="A1053" s="8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>
      <c r="A1054" s="8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>
      <c r="A1055" s="8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>
      <c r="A1056" s="8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>
      <c r="A1057" s="8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>
      <c r="A1058" s="8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>
      <c r="A1059" s="8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>
      <c r="A1060" s="8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>
      <c r="A1061" s="8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>
      <c r="A1062" s="8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>
      <c r="A1063" s="8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>
      <c r="A1064" s="8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>
      <c r="A1065" s="8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>
      <c r="A1066" s="8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>
      <c r="A1067" s="8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>
      <c r="A1068" s="8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>
      <c r="A1069" s="8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>
      <c r="A1070" s="8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>
      <c r="A1071" s="8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>
      <c r="A1072" s="8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>
      <c r="A1073" s="8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>
      <c r="A1074" s="8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>
      <c r="A1075" s="8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>
      <c r="A1076" s="8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>
      <c r="A1077" s="8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>
      <c r="A1078" s="8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>
      <c r="A1079" s="8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>
      <c r="A1080" s="8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>
      <c r="A1081" s="8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>
      <c r="A1082" s="8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>
      <c r="A1083" s="8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>
      <c r="A1084" s="8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>
      <c r="A1085" s="8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>
      <c r="A1086" s="8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>
      <c r="A1087" s="8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>
      <c r="A1088" s="8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>
      <c r="A1089" s="8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>
      <c r="A1090" s="8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</sheetData>
  <mergeCells count="157">
    <mergeCell ref="J16:J19"/>
    <mergeCell ref="K16:K19"/>
    <mergeCell ref="L16:L19"/>
    <mergeCell ref="M16:M19"/>
    <mergeCell ref="B16:B19"/>
    <mergeCell ref="E16:E19"/>
    <mergeCell ref="F16:F19"/>
    <mergeCell ref="G16:G19"/>
    <mergeCell ref="H16:H19"/>
    <mergeCell ref="I16:I19"/>
    <mergeCell ref="A20:M20"/>
    <mergeCell ref="I21:I24"/>
    <mergeCell ref="J21:J24"/>
    <mergeCell ref="K21:K24"/>
    <mergeCell ref="L21:L24"/>
    <mergeCell ref="M21:M24"/>
    <mergeCell ref="A25:M25"/>
    <mergeCell ref="A16:A19"/>
    <mergeCell ref="A21:A24"/>
    <mergeCell ref="B21:B24"/>
    <mergeCell ref="E21:E24"/>
    <mergeCell ref="F21:F24"/>
    <mergeCell ref="G21:G24"/>
    <mergeCell ref="H21:H24"/>
    <mergeCell ref="J26:J33"/>
    <mergeCell ref="K26:K33"/>
    <mergeCell ref="L26:L33"/>
    <mergeCell ref="M26:M33"/>
    <mergeCell ref="B26:B33"/>
    <mergeCell ref="E26:E33"/>
    <mergeCell ref="F26:F33"/>
    <mergeCell ref="G26:G33"/>
    <mergeCell ref="H26:H33"/>
    <mergeCell ref="I26:I33"/>
    <mergeCell ref="A34:M34"/>
    <mergeCell ref="I35:I41"/>
    <mergeCell ref="J35:J41"/>
    <mergeCell ref="K35:K41"/>
    <mergeCell ref="L35:L41"/>
    <mergeCell ref="M35:M41"/>
    <mergeCell ref="A42:M42"/>
    <mergeCell ref="A26:A33"/>
    <mergeCell ref="A35:A41"/>
    <mergeCell ref="B35:B41"/>
    <mergeCell ref="E35:E41"/>
    <mergeCell ref="F35:F41"/>
    <mergeCell ref="G35:G41"/>
    <mergeCell ref="H35:H41"/>
    <mergeCell ref="J43:J54"/>
    <mergeCell ref="K43:K54"/>
    <mergeCell ref="L43:L54"/>
    <mergeCell ref="M43:M54"/>
    <mergeCell ref="B43:B54"/>
    <mergeCell ref="E43:E54"/>
    <mergeCell ref="F43:F54"/>
    <mergeCell ref="G43:G54"/>
    <mergeCell ref="H43:H54"/>
    <mergeCell ref="I43:I54"/>
    <mergeCell ref="A55:M55"/>
    <mergeCell ref="I6:L6"/>
    <mergeCell ref="M6:M7"/>
    <mergeCell ref="A1:E1"/>
    <mergeCell ref="B2:E2"/>
    <mergeCell ref="A6:A7"/>
    <mergeCell ref="B6:B7"/>
    <mergeCell ref="C6:C7"/>
    <mergeCell ref="D6:D7"/>
    <mergeCell ref="E6:H6"/>
    <mergeCell ref="J8:J11"/>
    <mergeCell ref="K8:K11"/>
    <mergeCell ref="L8:L11"/>
    <mergeCell ref="M8:M11"/>
    <mergeCell ref="B8:B11"/>
    <mergeCell ref="E8:E11"/>
    <mergeCell ref="F8:F11"/>
    <mergeCell ref="G8:G11"/>
    <mergeCell ref="H8:H11"/>
    <mergeCell ref="I8:I11"/>
    <mergeCell ref="A12:M12"/>
    <mergeCell ref="I13:I14"/>
    <mergeCell ref="J13:J14"/>
    <mergeCell ref="K13:K14"/>
    <mergeCell ref="L13:L14"/>
    <mergeCell ref="M13:M14"/>
    <mergeCell ref="A15:M15"/>
    <mergeCell ref="A8:A11"/>
    <mergeCell ref="A13:A14"/>
    <mergeCell ref="B13:B14"/>
    <mergeCell ref="E13:E14"/>
    <mergeCell ref="F13:F14"/>
    <mergeCell ref="G13:G14"/>
    <mergeCell ref="H13:H14"/>
    <mergeCell ref="I56:I57"/>
    <mergeCell ref="J56:J57"/>
    <mergeCell ref="K56:K57"/>
    <mergeCell ref="L56:L57"/>
    <mergeCell ref="M56:M57"/>
    <mergeCell ref="B98:B101"/>
    <mergeCell ref="E98:E101"/>
    <mergeCell ref="F98:F101"/>
    <mergeCell ref="G98:G101"/>
    <mergeCell ref="H98:H101"/>
    <mergeCell ref="I98:I101"/>
    <mergeCell ref="A102:I102"/>
    <mergeCell ref="A98:A101"/>
    <mergeCell ref="A103:A106"/>
    <mergeCell ref="B103:B106"/>
    <mergeCell ref="E103:E106"/>
    <mergeCell ref="F103:F106"/>
    <mergeCell ref="G103:G106"/>
    <mergeCell ref="H103:H106"/>
    <mergeCell ref="A43:A54"/>
    <mergeCell ref="A56:A57"/>
    <mergeCell ref="B56:B57"/>
    <mergeCell ref="E56:E57"/>
    <mergeCell ref="F56:F57"/>
    <mergeCell ref="G56:G57"/>
    <mergeCell ref="H56:H57"/>
    <mergeCell ref="E72:E73"/>
    <mergeCell ref="F72:F73"/>
    <mergeCell ref="G72:G73"/>
    <mergeCell ref="C60:C61"/>
    <mergeCell ref="A68:D68"/>
    <mergeCell ref="B69:D69"/>
    <mergeCell ref="A72:A73"/>
    <mergeCell ref="B72:B73"/>
    <mergeCell ref="C72:C73"/>
    <mergeCell ref="D72:D73"/>
    <mergeCell ref="E96:E97"/>
    <mergeCell ref="F96:F97"/>
    <mergeCell ref="G96:G97"/>
    <mergeCell ref="H96:H97"/>
    <mergeCell ref="I96:I97"/>
    <mergeCell ref="C84:C85"/>
    <mergeCell ref="A91:E91"/>
    <mergeCell ref="B92:E92"/>
    <mergeCell ref="A96:A97"/>
    <mergeCell ref="B96:B97"/>
    <mergeCell ref="C96:C97"/>
    <mergeCell ref="D96:D97"/>
    <mergeCell ref="I103:I106"/>
    <mergeCell ref="A107:I107"/>
    <mergeCell ref="A108:A115"/>
    <mergeCell ref="A117:A128"/>
    <mergeCell ref="B117:B128"/>
    <mergeCell ref="E117:E128"/>
    <mergeCell ref="F117:F128"/>
    <mergeCell ref="G117:G128"/>
    <mergeCell ref="H117:H128"/>
    <mergeCell ref="I117:I128"/>
    <mergeCell ref="B108:B115"/>
    <mergeCell ref="E108:E115"/>
    <mergeCell ref="F108:F115"/>
    <mergeCell ref="G108:G115"/>
    <mergeCell ref="H108:H115"/>
    <mergeCell ref="I108:I115"/>
    <mergeCell ref="A116:I1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4" max="4" width="35.38"/>
    <col customWidth="1" min="5" max="5" width="32.0"/>
    <col customWidth="1" min="6" max="6" width="37.38"/>
    <col customWidth="1" min="7" max="7" width="15.88"/>
    <col customWidth="1" min="8" max="9" width="61.38"/>
  </cols>
  <sheetData>
    <row r="1">
      <c r="A1" s="33" t="s">
        <v>70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ht="25.5" customHeight="1">
      <c r="A2" s="37"/>
      <c r="B2" s="38"/>
      <c r="C2" s="38"/>
      <c r="D2" s="38"/>
      <c r="E2" s="38"/>
      <c r="F2" s="38"/>
      <c r="G2" s="38"/>
      <c r="H2" s="39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ht="39.0" customHeight="1">
      <c r="A3" s="40" t="s">
        <v>71</v>
      </c>
      <c r="B3" s="40" t="s">
        <v>72</v>
      </c>
      <c r="C3" s="40" t="s">
        <v>73</v>
      </c>
      <c r="D3" s="40" t="s">
        <v>74</v>
      </c>
      <c r="E3" s="40" t="s">
        <v>75</v>
      </c>
      <c r="F3" s="40" t="s">
        <v>76</v>
      </c>
      <c r="G3" s="40" t="s">
        <v>77</v>
      </c>
      <c r="H3" s="40" t="s">
        <v>78</v>
      </c>
      <c r="I3" s="40" t="s">
        <v>79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ht="73.5" customHeight="1">
      <c r="A4" s="42" t="s">
        <v>80</v>
      </c>
      <c r="B4" s="42" t="s">
        <v>81</v>
      </c>
      <c r="C4" s="43" t="s">
        <v>21</v>
      </c>
      <c r="D4" s="43" t="s">
        <v>82</v>
      </c>
      <c r="E4" s="43" t="s">
        <v>83</v>
      </c>
      <c r="F4" s="43" t="s">
        <v>84</v>
      </c>
      <c r="G4" s="42" t="s">
        <v>85</v>
      </c>
      <c r="H4" s="43" t="s">
        <v>86</v>
      </c>
      <c r="I4" s="42" t="s">
        <v>87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ht="63.75" customHeight="1">
      <c r="A5" s="42" t="s">
        <v>88</v>
      </c>
      <c r="B5" s="42" t="s">
        <v>89</v>
      </c>
      <c r="C5" s="43" t="s">
        <v>21</v>
      </c>
      <c r="D5" s="43" t="s">
        <v>90</v>
      </c>
      <c r="E5" s="43" t="s">
        <v>91</v>
      </c>
      <c r="F5" s="43" t="s">
        <v>92</v>
      </c>
      <c r="G5" s="42" t="s">
        <v>85</v>
      </c>
      <c r="H5" s="43" t="s">
        <v>86</v>
      </c>
      <c r="I5" s="42" t="s">
        <v>87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ht="107.25" customHeight="1">
      <c r="A6" s="42" t="s">
        <v>93</v>
      </c>
      <c r="B6" s="42" t="s">
        <v>94</v>
      </c>
      <c r="C6" s="43" t="s">
        <v>26</v>
      </c>
      <c r="D6" s="43" t="s">
        <v>95</v>
      </c>
      <c r="E6" s="43" t="s">
        <v>96</v>
      </c>
      <c r="F6" s="43" t="s">
        <v>97</v>
      </c>
      <c r="G6" s="42" t="s">
        <v>85</v>
      </c>
      <c r="H6" s="43" t="s">
        <v>98</v>
      </c>
      <c r="I6" s="42" t="s">
        <v>99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ht="112.5" customHeight="1">
      <c r="A7" s="42" t="s">
        <v>100</v>
      </c>
      <c r="B7" s="42" t="s">
        <v>101</v>
      </c>
      <c r="C7" s="43" t="s">
        <v>26</v>
      </c>
      <c r="D7" s="43" t="s">
        <v>102</v>
      </c>
      <c r="E7" s="43" t="s">
        <v>103</v>
      </c>
      <c r="F7" s="43" t="s">
        <v>104</v>
      </c>
      <c r="G7" s="42" t="s">
        <v>85</v>
      </c>
      <c r="H7" s="43" t="s">
        <v>105</v>
      </c>
      <c r="I7" s="42" t="s">
        <v>99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ht="189.75" customHeight="1">
      <c r="A8" s="42" t="s">
        <v>106</v>
      </c>
      <c r="B8" s="42" t="s">
        <v>107</v>
      </c>
      <c r="C8" s="43" t="s">
        <v>31</v>
      </c>
      <c r="D8" s="43" t="s">
        <v>108</v>
      </c>
      <c r="E8" s="43" t="s">
        <v>109</v>
      </c>
      <c r="F8" s="43" t="s">
        <v>110</v>
      </c>
      <c r="G8" s="42" t="s">
        <v>85</v>
      </c>
      <c r="H8" s="43" t="s">
        <v>111</v>
      </c>
      <c r="I8" s="42" t="s">
        <v>112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ht="30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ht="31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ht="31.5" customHeight="1">
      <c r="A11" s="36"/>
      <c r="B11" s="36"/>
      <c r="C11" s="36"/>
      <c r="D11" s="36"/>
      <c r="E11" s="36"/>
      <c r="F11" s="44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ht="31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ht="31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</row>
  </sheetData>
  <mergeCells count="1">
    <mergeCell ref="A1:H2"/>
  </mergeCells>
  <drawing r:id="rId1"/>
</worksheet>
</file>